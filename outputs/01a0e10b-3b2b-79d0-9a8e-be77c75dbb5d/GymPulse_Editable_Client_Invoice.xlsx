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ca748710c445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" sheetId="1" r:id="R33bdf3e0080f41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m yyyy"/>
    <x:numFmt numFmtId="201" formatCode="[$₹-en-IN] #,##0;[Red]-[$₹-en-IN] #,##0"/>
  </x:numFmts>
  <x:fonts count="14">
    <x:font>
      <x:sz val="11"/>
      <x:name val="Carlito"/>
    </x:font>
    <x:font>
      <x:sz val="10"/>
      <x:color rgb="FF142033"/>
      <x:name val="Arial"/>
    </x:font>
    <x:font>
      <x:b/>
      <x:sz val="16"/>
      <x:color rgb="FFFFFFFF"/>
      <x:name val="Arial"/>
    </x:font>
    <x:font>
      <x:sz val="9"/>
      <x:color rgb="FFBBDCF5"/>
      <x:name val="Arial"/>
    </x:font>
    <x:font>
      <x:sz val="9"/>
      <x:color rgb="FFFFFFFF"/>
      <x:name val="Arial"/>
    </x:font>
    <x:font>
      <x:b/>
      <x:sz val="9"/>
      <x:color rgb="FF142033"/>
      <x:name val="Arial"/>
    </x:font>
    <x:font>
      <x:b/>
      <x:sz val="10"/>
      <x:color rgb="FF0C8CE9"/>
      <x:name val="Arial"/>
    </x:font>
    <x:font>
      <x:b/>
      <x:sz val="10"/>
      <x:color rgb="FF142033"/>
      <x:name val="Arial"/>
    </x:font>
    <x:font>
      <x:b/>
      <x:sz val="10"/>
      <x:color rgb="FFFFFFFF"/>
      <x:name val="Arial"/>
    </x:font>
    <x:font>
      <x:sz val="9"/>
      <x:color rgb="FF142033"/>
      <x:name val="Arial"/>
    </x:font>
    <x:font>
      <x:b/>
      <x:sz val="13"/>
      <x:color rgb="FFFFFFFF"/>
      <x:name val="Arial"/>
    </x:font>
    <x:font>
      <x:i/>
      <x:sz val="9"/>
      <x:color rgb="FF5E6B7C"/>
      <x:name val="Arial"/>
    </x:font>
    <x:font>
      <x:b/>
      <x:sz val="9"/>
      <x:color rgb="FF0C8CE9"/>
      <x:name val="Arial"/>
    </x:font>
    <x:font>
      <x:sz val="9"/>
      <x:color rgb="FF5E6B7C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71A2D"/>
      </x:patternFill>
    </x:fill>
    <x:fill>
      <x:patternFill patternType="solid">
        <x:fgColor rgb="FFFFF2CC"/>
      </x:patternFill>
    </x:fill>
    <x:fill>
      <x:patternFill patternType="solid">
        <x:fgColor rgb="FFEAF5FD"/>
      </x:patternFill>
    </x:fill>
    <x:fill>
      <x:patternFill patternType="solid">
        <x:fgColor rgb="FFFFF1E8"/>
      </x:patternFill>
    </x:fill>
    <x:fill>
      <x:patternFill patternType="solid">
        <x:fgColor rgb="FFFFFFFF"/>
      </x:patternFill>
    </x:fill>
    <x:fill>
      <x:patternFill patternType="solid">
        <x:fgColor rgb="FFF7FAFD"/>
      </x:patternFill>
    </x:fill>
    <x:fill>
      <x:patternFill patternType="solid">
        <x:fgColor rgb="FF0C8CE9"/>
      </x:patternFill>
    </x:fill>
  </x:fills>
  <x:borders count="30">
    <x:border/>
    <x:border>
      <x:left style="thin">
        <x:color rgb="FF071A2D"/>
      </x:left>
      <x:top style="thin">
        <x:color rgb="FF071A2D"/>
      </x:top>
    </x:border>
    <x:border>
      <x:top style="thin">
        <x:color rgb="FF071A2D"/>
      </x:top>
    </x:border>
    <x:border>
      <x:right style="thin">
        <x:color rgb="FF071A2D"/>
      </x:right>
      <x:top style="thin">
        <x:color rgb="FF071A2D"/>
      </x:top>
    </x:border>
    <x:border>
      <x:left style="thin">
        <x:color rgb="FF071A2D"/>
      </x:left>
    </x:border>
    <x:border>
      <x:right style="thin">
        <x:color rgb="FF071A2D"/>
      </x:right>
    </x:border>
    <x:border>
      <x:left style="thin">
        <x:color rgb="FF071A2D"/>
      </x:left>
      <x:bottom style="thin">
        <x:color rgb="FF071A2D"/>
      </x:bottom>
    </x:border>
    <x:border>
      <x:bottom style="thin">
        <x:color rgb="FF071A2D"/>
      </x:bottom>
    </x:border>
    <x:border>
      <x:right style="thin">
        <x:color rgb="FF071A2D"/>
      </x:right>
      <x:bottom style="thin">
        <x:color rgb="FF071A2D"/>
      </x:bottom>
    </x:border>
    <x:border>
      <x:left style="thin">
        <x:color rgb="FFD8E1EB"/>
      </x:left>
      <x:top style="thin">
        <x:color rgb="FFD8E1EB"/>
      </x:top>
    </x:border>
    <x:border>
      <x:top style="thin">
        <x:color rgb="FFD8E1EB"/>
      </x:top>
    </x:border>
    <x:border>
      <x:right style="thin">
        <x:color rgb="FFD8E1EB"/>
      </x:right>
      <x:top style="thin">
        <x:color rgb="FFD8E1EB"/>
      </x:top>
    </x:border>
    <x:border>
      <x:left style="thin">
        <x:color rgb="FFD8E1EB"/>
      </x:left>
    </x:border>
    <x:border>
      <x:right style="thin">
        <x:color rgb="FFD8E1EB"/>
      </x:right>
    </x:border>
    <x:border>
      <x:left style="thin">
        <x:color rgb="FFD8E1EB"/>
      </x:left>
      <x:bottom style="thin">
        <x:color rgb="FFD8E1EB"/>
      </x:bottom>
    </x:border>
    <x:border>
      <x:bottom style="thin">
        <x:color rgb="FFD8E1EB"/>
      </x:bottom>
    </x:border>
    <x:border>
      <x:right style="thin">
        <x:color rgb="FFD8E1EB"/>
      </x:right>
      <x:bottom style="thin">
        <x:color rgb="FFD8E1EB"/>
      </x:bottom>
    </x:border>
    <x:border>
      <x:left style="thin">
        <x:color rgb="FFD8E1EB"/>
      </x:left>
      <x:right style="thin">
        <x:color rgb="FFD8E1EB"/>
      </x:right>
      <x:top style="thin">
        <x:color rgb="FFD8E1EB"/>
      </x:top>
    </x:border>
    <x:border>
      <x:left style="thin">
        <x:color rgb="FFD8E1EB"/>
      </x:left>
      <x:right style="thin">
        <x:color rgb="FFD8E1EB"/>
      </x:right>
    </x:border>
    <x:border>
      <x:left style="thin">
        <x:color rgb="FFD8E1EB"/>
      </x:left>
      <x:right style="thin">
        <x:color rgb="FFD8E1EB"/>
      </x:right>
      <x:bottom style="thin">
        <x:color rgb="FFD8E1EB"/>
      </x:bottom>
    </x:border>
    <x:border>
      <x:left style="thin">
        <x:color rgb="FFD8E1EB"/>
      </x:left>
      <x:right style="thin">
        <x:color rgb="FFD8E1EB"/>
      </x:right>
      <x:top style="thin">
        <x:color rgb="FFD8E1EB"/>
      </x:top>
      <x:bottom style="thin">
        <x:color rgb="FFD8E1EB"/>
      </x:bottom>
    </x:border>
    <x:border>
      <x:right style="thin">
        <x:color rgb="FFD8E1EB"/>
      </x:right>
      <x:top style="thin">
        <x:color rgb="FFD8E1EB"/>
      </x:top>
      <x:bottom style="thin">
        <x:color rgb="FFD8E1EB"/>
      </x:bottom>
    </x:border>
    <x:border>
      <x:left style="thin">
        <x:color rgb="FFD8E1EB"/>
      </x:left>
      <x:top style="thin">
        <x:color rgb="FFD8E1EB"/>
      </x:top>
      <x:bottom style="thin">
        <x:color rgb="FFD8E1EB"/>
      </x:bottom>
    </x:border>
    <x:border>
      <x:left style="thin">
        <x:color rgb="FF0C8CE9"/>
      </x:left>
      <x:top style="thin">
        <x:color rgb="FF0C8CE9"/>
      </x:top>
    </x:border>
    <x:border>
      <x:top style="thin">
        <x:color rgb="FF0C8CE9"/>
      </x:top>
    </x:border>
    <x:border>
      <x:right style="thin">
        <x:color rgb="FF0C8CE9"/>
      </x:right>
      <x:top style="thin">
        <x:color rgb="FF0C8CE9"/>
      </x:top>
    </x:border>
    <x:border>
      <x:left style="thin">
        <x:color rgb="FF0C8CE9"/>
      </x:left>
      <x:bottom style="thin">
        <x:color rgb="FF0C8CE9"/>
      </x:bottom>
    </x:border>
    <x:border>
      <x:bottom style="thin">
        <x:color rgb="FF0C8CE9"/>
      </x:bottom>
    </x:border>
    <x:border>
      <x:right style="thin">
        <x:color rgb="FF0C8CE9"/>
      </x:right>
      <x:bottom style="thin">
        <x:color rgb="FF0C8CE9"/>
      </x:bottom>
    </x:border>
    <x:border>
      <x:top style="thin">
        <x:color rgb="FFD8E1EB"/>
      </x:top>
      <x:bottom style="thin">
        <x:color rgb="FFD8E1EB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right" vertical="center"/>
    </x:xf>
    <x:xf numFmtId="200" fontId="5" fillId="3" borderId="0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right" vertical="center"/>
    </x:xf>
    <x:xf numFmtId="0" fontId="2" fillId="2" borderId="3" xfId="0" applyNumberFormat="1" applyFont="1" applyFill="1" applyBorder="1" applyAlignment="1">
      <x:alignment horizontal="right"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right" vertical="center"/>
    </x:xf>
    <x:xf numFmtId="0" fontId="5" fillId="3" borderId="5" xfId="0" applyNumberFormat="1" applyFont="1" applyFill="1" applyBorder="1" applyAlignment="1">
      <x:alignment horizontal="right" vertical="center"/>
    </x:xf>
    <x:xf numFmtId="0" fontId="3" fillId="2" borderId="6" xfId="0" applyNumberFormat="1" applyFont="1" applyFill="1" applyBorder="1" applyAlignment="1">
      <x:alignment horizontal="left" vertical="center"/>
    </x:xf>
    <x:xf numFmtId="0" fontId="3" fillId="2" borderId="7" xfId="0" applyNumberFormat="1" applyFont="1" applyFill="1" applyBorder="1" applyAlignment="1">
      <x:alignment horizontal="left" vertical="center"/>
    </x:xf>
    <x:xf numFmtId="0" fontId="4" fillId="2" borderId="7" xfId="0" applyNumberFormat="1" applyFont="1" applyFill="1" applyBorder="1" applyAlignment="1">
      <x:alignment horizontal="right" vertical="center"/>
    </x:xf>
    <x:xf numFmtId="200" fontId="5" fillId="3" borderId="8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left" vertical="center"/>
    </x:xf>
    <x:xf numFmtId="0" fontId="6" fillId="4" borderId="9" xfId="0" applyNumberFormat="1" applyFont="1" applyFill="1" applyBorder="1" applyAlignment="1">
      <x:alignment horizontal="left" vertical="center"/>
    </x:xf>
    <x:xf numFmtId="0" fontId="6" fillId="4" borderId="10" xfId="0" applyNumberFormat="1" applyFont="1" applyFill="1" applyBorder="1" applyAlignment="1">
      <x:alignment horizontal="left" vertical="center"/>
    </x:xf>
    <x:xf numFmtId="0" fontId="6" fillId="4" borderId="11" xfId="0" applyNumberFormat="1" applyFont="1" applyFill="1" applyBorder="1" applyAlignment="1">
      <x:alignment horizontal="left"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6" fillId="4" borderId="17" xfId="0" applyNumberFormat="1" applyFont="1" applyFill="1" applyBorder="1" applyAlignment="1">
      <x:alignment horizontal="left" vertical="center"/>
    </x:xf>
    <x:xf numFmtId="0" fontId="1" fillId="0" borderId="18" xfId="0" applyNumberFormat="1" applyFont="1" applyFill="1" applyBorder="1" applyAlignment="1">
      <x:alignment vertical="center"/>
    </x:xf>
    <x:xf numFmtId="0" fontId="1" fillId="0" borderId="19" xfId="0" applyNumberFormat="1" applyFont="1" applyFill="1" applyBorder="1" applyAlignment="1">
      <x:alignment vertical="center"/>
    </x:xf>
    <x:xf numFmtId="0" fontId="1" fillId="3" borderId="18" xfId="0" applyNumberFormat="1" applyFont="1" applyFill="1" applyBorder="1" applyAlignment="1">
      <x:alignment vertical="center"/>
    </x:xf>
    <x:xf numFmtId="0" fontId="1" fillId="3" borderId="19" xfId="0" applyNumberFormat="1" applyFont="1" applyFill="1" applyBorder="1" applyAlignment="1">
      <x:alignment vertical="center"/>
    </x:xf>
    <x:xf numFmtId="0" fontId="1" fillId="3" borderId="18" xfId="0" applyNumberFormat="1" applyFont="1" applyFill="1" applyBorder="1" applyAlignment="1">
      <x:alignment vertical="center" wrapText="1"/>
    </x:xf>
    <x:xf numFmtId="0" fontId="1" fillId="3" borderId="19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6" fillId="5" borderId="20" xfId="0" applyNumberFormat="1" applyFont="1" applyFill="1" applyBorder="1" applyAlignment="1">
      <x:alignment vertical="center"/>
    </x:xf>
    <x:xf numFmtId="0" fontId="7" fillId="0" borderId="2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horizontal="right"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201" fontId="9" fillId="3" borderId="0" xfId="0" applyNumberFormat="1" applyFont="1" applyFill="1" applyBorder="1" applyAlignment="1">
      <x:alignment horizontal="right" vertical="center" wrapText="1"/>
    </x:xf>
    <x:xf numFmtId="0" fontId="8" fillId="2" borderId="16" xfId="0" applyNumberFormat="1" applyFont="1" applyFill="1" applyBorder="1" applyAlignment="1">
      <x:alignment horizontal="center" vertical="center"/>
    </x:xf>
    <x:xf numFmtId="0" fontId="8" fillId="2" borderId="19" xfId="0" applyNumberFormat="1" applyFont="1" applyFill="1" applyBorder="1" applyAlignment="1">
      <x:alignment horizontal="center" vertical="center"/>
    </x:xf>
    <x:xf numFmtId="0" fontId="8" fillId="2" borderId="14" xfId="0" applyNumberFormat="1" applyFont="1" applyFill="1" applyBorder="1" applyAlignment="1">
      <x:alignment horizontal="center" vertical="center"/>
    </x:xf>
    <x:xf numFmtId="0" fontId="5" fillId="6" borderId="21" xfId="0" applyNumberFormat="1" applyFont="1" applyFill="1" applyBorder="1" applyAlignment="1">
      <x:alignment vertical="center" wrapText="1"/>
    </x:xf>
    <x:xf numFmtId="0" fontId="5" fillId="6" borderId="20" xfId="0" applyNumberFormat="1" applyFont="1" applyFill="1" applyBorder="1" applyAlignment="1">
      <x:alignment vertical="center" wrapText="1"/>
    </x:xf>
    <x:xf numFmtId="0" fontId="9" fillId="6" borderId="20" xfId="0" applyNumberFormat="1" applyFont="1" applyFill="1" applyBorder="1" applyAlignment="1">
      <x:alignment vertical="center" wrapText="1"/>
    </x:xf>
    <x:xf numFmtId="201" fontId="9" fillId="3" borderId="22" xfId="0" applyNumberFormat="1" applyFont="1" applyFill="1" applyBorder="1" applyAlignment="1">
      <x:alignment horizontal="right" vertical="center" wrapText="1"/>
    </x:xf>
    <x:xf numFmtId="0" fontId="5" fillId="7" borderId="21" xfId="0" applyNumberFormat="1" applyFont="1" applyFill="1" applyBorder="1" applyAlignment="1">
      <x:alignment vertical="center" wrapText="1"/>
    </x:xf>
    <x:xf numFmtId="0" fontId="5" fillId="7" borderId="20" xfId="0" applyNumberFormat="1" applyFont="1" applyFill="1" applyBorder="1" applyAlignment="1">
      <x:alignment vertical="center" wrapText="1"/>
    </x:xf>
    <x:xf numFmtId="0" fontId="9" fillId="7" borderId="20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vertical="center" wrapText="1"/>
    </x:xf>
    <x:xf numFmtId="0" fontId="5" fillId="7" borderId="17" xfId="0" applyNumberFormat="1" applyFont="1" applyFill="1" applyBorder="1" applyAlignment="1">
      <x:alignment vertical="center" wrapText="1"/>
    </x:xf>
    <x:xf numFmtId="0" fontId="9" fillId="7" borderId="17" xfId="0" applyNumberFormat="1" applyFont="1" applyFill="1" applyBorder="1" applyAlignment="1">
      <x:alignment vertical="center" wrapText="1"/>
    </x:xf>
    <x:xf numFmtId="201" fontId="9" fillId="3" borderId="9" xfId="0" applyNumberFormat="1" applyFont="1" applyFill="1" applyBorder="1" applyAlignment="1">
      <x:alignment horizontal="right" vertical="center" wrapText="1"/>
    </x:xf>
    <x:xf numFmtId="0" fontId="1" fillId="0" borderId="20" xfId="0" applyNumberFormat="1" applyFont="1" applyFill="1" applyBorder="1" applyAlignment="1">
      <x:alignment vertical="center"/>
    </x:xf>
    <x:xf numFmtId="0" fontId="7" fillId="0" borderId="20" xfId="0" applyNumberFormat="1" applyFont="1" applyFill="1" applyBorder="1" applyAlignment="1">
      <x:alignment vertical="center"/>
    </x:xf>
    <x:xf numFmtId="0" fontId="1" fillId="5" borderId="20" xfId="0" applyNumberFormat="1" applyFont="1" applyFill="1" applyBorder="1" applyAlignment="1">
      <x:alignment vertical="center"/>
    </x:xf>
    <x:xf numFmtId="0" fontId="1" fillId="3" borderId="20" xfId="0" applyNumberFormat="1" applyFont="1" applyFill="1" applyBorder="1" applyAlignment="1">
      <x:alignment vertical="center"/>
    </x:xf>
    <x:xf numFmtId="0" fontId="1" fillId="4" borderId="20" xfId="0" applyNumberFormat="1" applyFont="1" applyFill="1" applyBorder="1" applyAlignment="1">
      <x:alignment vertical="center"/>
    </x:xf>
    <x:xf numFmtId="0" fontId="7" fillId="4" borderId="2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0" fontId="7" fillId="0" borderId="20" xfId="0" applyNumberFormat="1" applyFont="1" applyFill="1" applyBorder="1" applyAlignment="1">
      <x:alignment horizontal="right" vertical="center"/>
    </x:xf>
    <x:xf numFmtId="0" fontId="1" fillId="3" borderId="20" xfId="0" applyNumberFormat="1" applyFont="1" applyFill="1" applyBorder="1" applyAlignment="1">
      <x:alignment horizontal="right" vertical="center"/>
    </x:xf>
    <x:xf numFmtId="0" fontId="7" fillId="4" borderId="20" xfId="0" applyNumberFormat="1" applyFont="1" applyFill="1" applyBorder="1" applyAlignment="1">
      <x:alignment horizontal="right" vertical="center"/>
    </x:xf>
    <x:xf numFmtId="0" fontId="10" fillId="8" borderId="0" xfId="0" applyNumberFormat="1" applyFont="1" applyFill="1" applyBorder="1" applyAlignment="1">
      <x:alignment horizontal="right" vertical="center"/>
    </x:xf>
    <x:xf numFmtId="201" fontId="7" fillId="0" borderId="20" xfId="0" applyNumberFormat="1" applyFont="1" applyFill="1" applyBorder="1" applyAlignment="1">
      <x:alignment horizontal="right" vertical="center"/>
    </x:xf>
    <x:xf numFmtId="201" fontId="1" fillId="3" borderId="20" xfId="0" applyNumberFormat="1" applyFont="1" applyFill="1" applyBorder="1" applyAlignment="1">
      <x:alignment horizontal="right" vertical="center"/>
    </x:xf>
    <x:xf numFmtId="201" fontId="7" fillId="4" borderId="20" xfId="0" applyNumberFormat="1" applyFont="1" applyFill="1" applyBorder="1" applyAlignment="1">
      <x:alignment horizontal="right" vertical="center"/>
    </x:xf>
    <x:xf numFmtId="201" fontId="10" fillId="8" borderId="0" xfId="0" applyNumberFormat="1" applyFont="1" applyFill="1" applyBorder="1" applyAlignment="1">
      <x:alignment horizontal="right" vertical="center"/>
    </x:xf>
    <x:xf numFmtId="0" fontId="10" fillId="8" borderId="23" xfId="0" applyNumberFormat="1" applyFont="1" applyFill="1" applyBorder="1" applyAlignment="1">
      <x:alignment vertical="center"/>
    </x:xf>
    <x:xf numFmtId="0" fontId="10" fillId="8" borderId="24" xfId="0" applyNumberFormat="1" applyFont="1" applyFill="1" applyBorder="1" applyAlignment="1">
      <x:alignment vertical="center"/>
    </x:xf>
    <x:xf numFmtId="201" fontId="10" fillId="8" borderId="25" xfId="0" applyNumberFormat="1" applyFont="1" applyFill="1" applyBorder="1" applyAlignment="1">
      <x:alignment horizontal="right" vertical="center"/>
    </x:xf>
    <x:xf numFmtId="0" fontId="10" fillId="8" borderId="26" xfId="0" applyNumberFormat="1" applyFont="1" applyFill="1" applyBorder="1" applyAlignment="1">
      <x:alignment vertical="center"/>
    </x:xf>
    <x:xf numFmtId="0" fontId="10" fillId="8" borderId="27" xfId="0" applyNumberFormat="1" applyFont="1" applyFill="1" applyBorder="1" applyAlignment="1">
      <x:alignment vertical="center"/>
    </x:xf>
    <x:xf numFmtId="201" fontId="10" fillId="8" borderId="28" xfId="0" applyNumberFormat="1" applyFont="1" applyFill="1" applyBorder="1" applyAlignment="1">
      <x:alignment horizontal="right" vertical="center"/>
    </x:xf>
    <x:xf numFmtId="0" fontId="11" fillId="3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11" fillId="3" borderId="22" xfId="0" applyNumberFormat="1" applyFont="1" applyFill="1" applyBorder="1" applyAlignment="1">
      <x:alignment vertical="center" wrapText="1"/>
    </x:xf>
    <x:xf numFmtId="0" fontId="11" fillId="3" borderId="29" xfId="0" applyNumberFormat="1" applyFont="1" applyFill="1" applyBorder="1" applyAlignment="1">
      <x:alignment vertical="center" wrapText="1"/>
    </x:xf>
    <x:xf numFmtId="0" fontId="11" fillId="3" borderId="21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 wrapText="1"/>
    </x:xf>
    <x:xf numFmtId="201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horizontal="right" vertical="center"/>
    </x:xf>
    <x:xf numFmtId="0" fontId="12" fillId="4" borderId="20" xfId="0" applyNumberFormat="1" applyFont="1" applyFill="1" applyBorder="1" applyAlignment="1">
      <x:alignment vertical="center"/>
    </x:xf>
    <x:xf numFmtId="0" fontId="13" fillId="0" borderId="20" xfId="0" applyNumberFormat="1" applyFont="1" applyFill="1" applyBorder="1" applyAlignment="1">
      <x:alignment vertical="center" wrapText="1"/>
    </x:xf>
    <x:xf numFmtId="201" fontId="5" fillId="3" borderId="20" xfId="0" applyNumberFormat="1" applyFont="1" applyFill="1" applyBorder="1" applyAlignment="1">
      <x:alignment horizontal="right" vertical="center"/>
    </x:xf>
    <x:xf numFmtId="0" fontId="13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723588e88d4fdc" /><Relationship Type="http://schemas.openxmlformats.org/officeDocument/2006/relationships/theme" Target="/xl/theme/theme1.xml" Id="Rea2d1a187c004a0a" /><Relationship Type="http://schemas.openxmlformats.org/officeDocument/2006/relationships/sharedStrings" Target="/xl/sharedStrings.xml" Id="Rede44533ebdb4ecc" /><Relationship Type="http://schemas.openxmlformats.org/officeDocument/2006/relationships/worksheet" Target="/xl/worksheets/sheet1.xml" Id="R33bdf3e0080f41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71A2D"/>
  </x:sheetPr>
  <x:sheetViews>
    <x:sheetView showGridLines="0" workbookViewId="0"/>
  </x:sheetViews>
  <x:sheetFormatPr defaultRowHeight="15"/>
  <x:cols>
    <x:col min="1" max="1" width="4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17" hidden="0" customWidth="1"/>
    <x:col min="7" max="7" width="17" hidden="0" customWidth="1"/>
    <x:col min="8" max="8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>
      <x:c r="A2" s="15" t="str">
        <x:v>GYMPULSE</x:v>
      </x:c>
      <x:c r="B2" s="16" t="str">
        <x:v>GYMPULSE</x:v>
      </x:c>
      <x:c r="C2" s="16" t="str">
        <x:v>GYMPULSE</x:v>
      </x:c>
      <x:c r="D2" s="16" t="str">
        <x:v>GYMPULSE</x:v>
      </x:c>
      <x:c r="E2" s="16" t="str">
        <x:v>GYMPULSE</x:v>
      </x:c>
      <x:c r="F2" s="17" t="str">
        <x:v>INVOICE</x:v>
      </x:c>
      <x:c r="G2" s="17" t="str">
        <x:v>INVOICE</x:v>
      </x:c>
      <x:c r="H2" s="18" t="str">
        <x:v>INVOICE</x:v>
      </x:c>
    </x:row>
    <x:row r="3">
      <x:c r="A3" s="19" t="str">
        <x:v>GYMPULSE</x:v>
      </x:c>
      <x:c r="B3" s="5" t="str">
        <x:v>GYMPULSE</x:v>
      </x:c>
      <x:c r="C3" s="5" t="str">
        <x:v>GYMPULSE</x:v>
      </x:c>
      <x:c r="D3" s="5" t="str">
        <x:v>GYMPULSE</x:v>
      </x:c>
      <x:c r="E3" s="5" t="str">
        <x:v>GYMPULSE</x:v>
      </x:c>
      <x:c r="F3" s="8" t="str">
        <x:v>INVOICE</x:v>
      </x:c>
      <x:c r="G3" s="8" t="str">
        <x:v>INVOICE</x:v>
      </x:c>
      <x:c r="H3" s="20" t="str">
        <x:v>INVOICE</x:v>
      </x:c>
    </x:row>
    <x:row r="4">
      <x:c r="A4" s="19" t="str">
        <x:v>GYMPULSE</x:v>
      </x:c>
      <x:c r="B4" s="5" t="str">
        <x:v>GYMPULSE</x:v>
      </x:c>
      <x:c r="C4" s="5" t="str">
        <x:v>GYMPULSE</x:v>
      </x:c>
      <x:c r="D4" s="5" t="str">
        <x:v>GYMPULSE</x:v>
      </x:c>
      <x:c r="E4" s="5" t="str">
        <x:v>GYMPULSE</x:v>
      </x:c>
      <x:c r="F4" s="10" t="str">
        <x:v>Invoice No.</x:v>
      </x:c>
      <x:c r="G4" s="10" t="str">
        <x:v>Invoice No.</x:v>
      </x:c>
      <x:c r="H4" s="21" t="str">
        <x:v>GP-2026-001</x:v>
      </x:c>
    </x:row>
    <x:row r="5">
      <x:c r="A5" s="22" t="str">
        <x:v>CUSTOM GYM MANAGEMENT SYSTEM</x:v>
      </x:c>
      <x:c r="B5" s="23" t="str">
        <x:v>CUSTOM GYM MANAGEMENT SYSTEM</x:v>
      </x:c>
      <x:c r="C5" s="23" t="str">
        <x:v>CUSTOM GYM MANAGEMENT SYSTEM</x:v>
      </x:c>
      <x:c r="D5" s="23" t="str">
        <x:v>CUSTOM GYM MANAGEMENT SYSTEM</x:v>
      </x:c>
      <x:c r="E5" s="23" t="str">
        <x:v>CUSTOM GYM MANAGEMENT SYSTEM</x:v>
      </x:c>
      <x:c r="F5" s="24" t="str">
        <x:v>Invoice Date</x:v>
      </x:c>
      <x:c r="G5" s="24" t="str">
        <x:v>Invoice Date</x:v>
      </x:c>
      <x:c r="H5" s="25" t="n">
        <x:v>46292</x:v>
      </x:c>
    </x:row>
    <x:row r="6">
      <x:c r="A6" s="2"/>
      <x:c r="B6" s="2"/>
      <x:c r="C6" s="2"/>
      <x:c r="D6" s="2"/>
      <x:c r="E6" s="2"/>
      <x:c r="F6" s="2"/>
      <x:c r="G6" s="2"/>
      <x:c r="H6" s="2"/>
    </x:row>
    <x:row r="7">
      <x:c r="A7" s="37" t="str">
        <x:v>FROM</x:v>
      </x:c>
      <x:c r="B7" s="37" t="str">
        <x:v>FROM</x:v>
      </x:c>
      <x:c r="C7" s="37" t="str">
        <x:v>FROM</x:v>
      </x:c>
      <x:c r="D7" s="37" t="str">
        <x:v>FROM</x:v>
      </x:c>
      <x:c r="E7" s="37" t="str">
        <x:v>BILL TO</x:v>
      </x:c>
      <x:c r="F7" s="37" t="str">
        <x:v>BILL TO</x:v>
      </x:c>
      <x:c r="G7" s="37" t="str">
        <x:v>BILL TO</x:v>
      </x:c>
      <x:c r="H7" s="37" t="str">
        <x:v>BILL TO</x:v>
      </x:c>
    </x:row>
    <x:row r="8" ht="22" customHeight="1">
      <x:c r="A8" s="42" t="str">
        <x:v>[Your Name / Business Name]</x:v>
      </x:c>
      <x:c r="B8" s="42" t="str">
        <x:v>[Your Name / Business Name]</x:v>
      </x:c>
      <x:c r="C8" s="42" t="str">
        <x:v>[Your Name / Business Name]</x:v>
      </x:c>
      <x:c r="D8" s="42" t="str">
        <x:v>[Your Name / Business Name]</x:v>
      </x:c>
      <x:c r="E8" s="42" t="str">
        <x:v>Client / Gym Owner</x:v>
      </x:c>
      <x:c r="F8" s="42" t="str">
        <x:v>Client / Gym Owner</x:v>
      </x:c>
      <x:c r="G8" s="42" t="str">
        <x:v>Client / Gym Owner</x:v>
      </x:c>
      <x:c r="H8" s="42" t="str">
        <x:v>Client / Gym Owner</x:v>
      </x:c>
    </x:row>
    <x:row r="9" ht="22" customHeight="1">
      <x:c r="A9" s="42" t="str">
        <x:v>Software development and implementation services</x:v>
      </x:c>
      <x:c r="B9" s="42" t="str">
        <x:v>Software development and implementation services</x:v>
      </x:c>
      <x:c r="C9" s="42" t="str">
        <x:v>Software development and implementation services</x:v>
      </x:c>
      <x:c r="D9" s="42" t="str">
        <x:v>Software development and implementation services</x:v>
      </x:c>
      <x:c r="E9" s="42" t="str">
        <x:v>[Gym Name]</x:v>
      </x:c>
      <x:c r="F9" s="42" t="str">
        <x:v>[Gym Name]</x:v>
      </x:c>
      <x:c r="G9" s="42" t="str">
        <x:v>[Gym Name]</x:v>
      </x:c>
      <x:c r="H9" s="42" t="str">
        <x:v>[Gym Name]</x:v>
      </x:c>
    </x:row>
    <x:row r="10" ht="22" customHeight="1">
      <x:c r="A10" s="42" t="str">
        <x:v>[Phone] | [Email]</x:v>
      </x:c>
      <x:c r="B10" s="42" t="str">
        <x:v>[Phone] | [Email]</x:v>
      </x:c>
      <x:c r="C10" s="42" t="str">
        <x:v>[Phone] | [Email]</x:v>
      </x:c>
      <x:c r="D10" s="42" t="str">
        <x:v>[Phone] | [Email]</x:v>
      </x:c>
      <x:c r="E10" s="42" t="str">
        <x:v>[Address / Contact Details]</x:v>
      </x:c>
      <x:c r="F10" s="42" t="str">
        <x:v>[Address / Contact Details]</x:v>
      </x:c>
      <x:c r="G10" s="42" t="str">
        <x:v>[Address / Contact Details]</x:v>
      </x:c>
      <x:c r="H10" s="42" t="str">
        <x:v>[Address / Contact Details]</x:v>
      </x:c>
    </x:row>
    <x:row r="11" ht="22" customHeight="1">
      <x:c r="A11" s="43" t="str">
        <x:v>[Address / GSTIN, if applicable]</x:v>
      </x:c>
      <x:c r="B11" s="43" t="str">
        <x:v>[Address / GSTIN, if applicable]</x:v>
      </x:c>
      <x:c r="C11" s="43" t="str">
        <x:v>[Address / GSTIN, if applicable]</x:v>
      </x:c>
      <x:c r="D11" s="43" t="str">
        <x:v>[Address / GSTIN, if applicable]</x:v>
      </x:c>
      <x:c r="E11" s="43" t="str">
        <x:v>[Client GSTIN, if applicable]</x:v>
      </x:c>
      <x:c r="F11" s="43" t="str">
        <x:v>[Client GSTIN, if applicable]</x:v>
      </x:c>
      <x:c r="G11" s="43" t="str">
        <x:v>[Client GSTIN, if applicable]</x:v>
      </x:c>
      <x:c r="H11" s="43" t="str">
        <x:v>[Client GSTIN, if applicable]</x:v>
      </x:c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 ht="24" customHeight="1">
      <x:c r="A13" s="48" t="str">
        <x:v>PROJECT</x:v>
      </x:c>
      <x:c r="B13" s="48" t="str">
        <x:v>PROJECT</x:v>
      </x:c>
      <x:c r="C13" s="49" t="str">
        <x:v>GymPulse Custom Gym Management Web Application</x:v>
      </x:c>
      <x:c r="D13" s="49" t="str">
        <x:v>GymPulse Custom Gym Management Web Application</x:v>
      </x:c>
      <x:c r="E13" s="49" t="str">
        <x:v>GymPulse Custom Gym Management Web Application</x:v>
      </x:c>
      <x:c r="F13" s="49" t="str">
        <x:v>GymPulse Custom Gym Management Web Application</x:v>
      </x:c>
      <x:c r="G13" s="49" t="str">
        <x:v>GymPulse Custom Gym Management Web Application</x:v>
      </x:c>
      <x:c r="H13" s="49" t="str">
        <x:v>GymPulse Custom Gym Management Web Application</x:v>
      </x:c>
    </x:row>
    <x:row r="14" ht="24" customHeight="1">
      <x:c r="A14" s="48" t="str">
        <x:v>SCOPE</x:v>
      </x:c>
      <x:c r="B14" s="48" t="str">
        <x:v>SCOPE</x:v>
      </x:c>
      <x:c r="C14" s="49" t="str">
        <x:v>Design, development, configuration and deployment of the agreed gym operations platform.</x:v>
      </x:c>
      <x:c r="D14" s="49" t="str">
        <x:v>Design, development, configuration and deployment of the agreed gym operations platform.</x:v>
      </x:c>
      <x:c r="E14" s="49" t="str">
        <x:v>Design, development, configuration and deployment of the agreed gym operations platform.</x:v>
      </x:c>
      <x:c r="F14" s="49" t="str">
        <x:v>Design, development, configuration and deployment of the agreed gym operations platform.</x:v>
      </x:c>
      <x:c r="G14" s="49" t="str">
        <x:v>Design, development, configuration and deployment of the agreed gym operations platform.</x:v>
      </x:c>
      <x:c r="H14" s="49" t="str">
        <x:v>Design, development, configuration and deployment of the agreed gym operations platform.</x:v>
      </x:c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 ht="28" customHeight="1">
      <x:c r="A16" s="64" t="str">
        <x:v>FEATURE / MODULE</x:v>
      </x:c>
      <x:c r="B16" s="65" t="str">
        <x:v>FEATURE / MODULE</x:v>
      </x:c>
      <x:c r="C16" s="65" t="str">
        <x:v>FEATURE / MODULE</x:v>
      </x:c>
      <x:c r="D16" s="65" t="str">
        <x:v>DELIVERABLE</x:v>
      </x:c>
      <x:c r="E16" s="65" t="str">
        <x:v>DELIVERABLE</x:v>
      </x:c>
      <x:c r="F16" s="65" t="str">
        <x:v>DELIVERABLE</x:v>
      </x:c>
      <x:c r="G16" s="65" t="str">
        <x:v>DELIVERABLE</x:v>
      </x:c>
      <x:c r="H16" s="66" t="str">
        <x:v>VALUE</x:v>
      </x:c>
    </x:row>
    <x:row r="17" ht="35" customHeight="1">
      <x:c r="A17" s="67" t="str">
        <x:v>Public gym profile and responsive interface</x:v>
      </x:c>
      <x:c r="B17" s="68" t="str">
        <x:v>Public gym profile and responsive interface</x:v>
      </x:c>
      <x:c r="C17" s="68" t="str">
        <x:v>Public gym profile and responsive interface</x:v>
      </x:c>
      <x:c r="D17" s="69" t="str">
        <x:v>Customer-facing gym information page and responsive application layout.</x:v>
      </x:c>
      <x:c r="E17" s="69" t="str">
        <x:v>Customer-facing gym information page and responsive application layout.</x:v>
      </x:c>
      <x:c r="F17" s="69" t="str">
        <x:v>Customer-facing gym information page and responsive application layout.</x:v>
      </x:c>
      <x:c r="G17" s="69" t="str">
        <x:v>Customer-facing gym information page and responsive application layout.</x:v>
      </x:c>
      <x:c r="H17" s="70" t="n">
        <x:v>6000</x:v>
      </x:c>
    </x:row>
    <x:row r="18" ht="35" customHeight="1">
      <x:c r="A18" s="71" t="str">
        <x:v>Secure login, user roles and permissions</x:v>
      </x:c>
      <x:c r="B18" s="72" t="str">
        <x:v>Secure login, user roles and permissions</x:v>
      </x:c>
      <x:c r="C18" s="72" t="str">
        <x:v>Secure login, user roles and permissions</x:v>
      </x:c>
      <x:c r="D18" s="73" t="str">
        <x:v>Authentication and access control for owner, manager, reception and trainer roles.</x:v>
      </x:c>
      <x:c r="E18" s="73" t="str">
        <x:v>Authentication and access control for owner, manager, reception and trainer roles.</x:v>
      </x:c>
      <x:c r="F18" s="73" t="str">
        <x:v>Authentication and access control for owner, manager, reception and trainer roles.</x:v>
      </x:c>
      <x:c r="G18" s="73" t="str">
        <x:v>Authentication and access control for owner, manager, reception and trainer roles.</x:v>
      </x:c>
      <x:c r="H18" s="70" t="n">
        <x:v>7000</x:v>
      </x:c>
    </x:row>
    <x:row r="19" ht="35" customHeight="1">
      <x:c r="A19" s="67" t="str">
        <x:v>Member and trainer management</x:v>
      </x:c>
      <x:c r="B19" s="68" t="str">
        <x:v>Member and trainer management</x:v>
      </x:c>
      <x:c r="C19" s="68" t="str">
        <x:v>Member and trainer management</x:v>
      </x:c>
      <x:c r="D19" s="69" t="str">
        <x:v>Member records, search, status tracking and trainer administration.</x:v>
      </x:c>
      <x:c r="E19" s="69" t="str">
        <x:v>Member records, search, status tracking and trainer administration.</x:v>
      </x:c>
      <x:c r="F19" s="69" t="str">
        <x:v>Member records, search, status tracking and trainer administration.</x:v>
      </x:c>
      <x:c r="G19" s="69" t="str">
        <x:v>Member records, search, status tracking and trainer administration.</x:v>
      </x:c>
      <x:c r="H19" s="70" t="n">
        <x:v>10000</x:v>
      </x:c>
    </x:row>
    <x:row r="20" ht="35" customHeight="1">
      <x:c r="A20" s="71" t="str">
        <x:v>Membership plans, renewals and personal training</x:v>
      </x:c>
      <x:c r="B20" s="72" t="str">
        <x:v>Membership plans, renewals and personal training</x:v>
      </x:c>
      <x:c r="C20" s="72" t="str">
        <x:v>Membership plans, renewals and personal training</x:v>
      </x:c>
      <x:c r="D20" s="73" t="str">
        <x:v>Plan configuration, membership lifecycle, renewals and PT package management.</x:v>
      </x:c>
      <x:c r="E20" s="73" t="str">
        <x:v>Plan configuration, membership lifecycle, renewals and PT package management.</x:v>
      </x:c>
      <x:c r="F20" s="73" t="str">
        <x:v>Plan configuration, membership lifecycle, renewals and PT package management.</x:v>
      </x:c>
      <x:c r="G20" s="73" t="str">
        <x:v>Plan configuration, membership lifecycle, renewals and PT package management.</x:v>
      </x:c>
      <x:c r="H20" s="70" t="n">
        <x:v>10000</x:v>
      </x:c>
    </x:row>
    <x:row r="21" ht="35" customHeight="1">
      <x:c r="A21" s="67" t="str">
        <x:v>Attendance management</x:v>
      </x:c>
      <x:c r="B21" s="68" t="str">
        <x:v>Attendance management</x:v>
      </x:c>
      <x:c r="C21" s="68" t="str">
        <x:v>Attendance management</x:v>
      </x:c>
      <x:c r="D21" s="69" t="str">
        <x:v>Manual attendance, attendance history and operational tracking.</x:v>
      </x:c>
      <x:c r="E21" s="69" t="str">
        <x:v>Manual attendance, attendance history and operational tracking.</x:v>
      </x:c>
      <x:c r="F21" s="69" t="str">
        <x:v>Manual attendance, attendance history and operational tracking.</x:v>
      </x:c>
      <x:c r="G21" s="69" t="str">
        <x:v>Manual attendance, attendance history and operational tracking.</x:v>
      </x:c>
      <x:c r="H21" s="70" t="n">
        <x:v>7000</x:v>
      </x:c>
    </x:row>
    <x:row r="22" ht="35" customHeight="1">
      <x:c r="A22" s="71" t="str">
        <x:v>Payments and digital receipts</x:v>
      </x:c>
      <x:c r="B22" s="72" t="str">
        <x:v>Payments and digital receipts</x:v>
      </x:c>
      <x:c r="C22" s="72" t="str">
        <x:v>Payments and digital receipts</x:v>
      </x:c>
      <x:c r="D22" s="73" t="str">
        <x:v>Payment recording, collection information and receipt generation.</x:v>
      </x:c>
      <x:c r="E22" s="73" t="str">
        <x:v>Payment recording, collection information and receipt generation.</x:v>
      </x:c>
      <x:c r="F22" s="73" t="str">
        <x:v>Payment recording, collection information and receipt generation.</x:v>
      </x:c>
      <x:c r="G22" s="73" t="str">
        <x:v>Payment recording, collection information and receipt generation.</x:v>
      </x:c>
      <x:c r="H22" s="70" t="n">
        <x:v>8000</x:v>
      </x:c>
    </x:row>
    <x:row r="23" ht="35" customHeight="1">
      <x:c r="A23" s="67" t="str">
        <x:v>Dashboard and business reports</x:v>
      </x:c>
      <x:c r="B23" s="68" t="str">
        <x:v>Dashboard and business reports</x:v>
      </x:c>
      <x:c r="C23" s="68" t="str">
        <x:v>Dashboard and business reports</x:v>
      </x:c>
      <x:c r="D23" s="69" t="str">
        <x:v>Operational KPIs, charts, filters and management reporting.</x:v>
      </x:c>
      <x:c r="E23" s="69" t="str">
        <x:v>Operational KPIs, charts, filters and management reporting.</x:v>
      </x:c>
      <x:c r="F23" s="69" t="str">
        <x:v>Operational KPIs, charts, filters and management reporting.</x:v>
      </x:c>
      <x:c r="G23" s="69" t="str">
        <x:v>Operational KPIs, charts, filters and management reporting.</x:v>
      </x:c>
      <x:c r="H23" s="70" t="n">
        <x:v>7000</x:v>
      </x:c>
    </x:row>
    <x:row r="24" ht="35" customHeight="1">
      <x:c r="A24" s="74" t="str">
        <x:v>Messaging, settings and production deployment</x:v>
      </x:c>
      <x:c r="B24" s="75" t="str">
        <x:v>Messaging, settings and production deployment</x:v>
      </x:c>
      <x:c r="C24" s="75" t="str">
        <x:v>Messaging, settings and production deployment</x:v>
      </x:c>
      <x:c r="D24" s="76" t="str">
        <x:v>Communication tools, configuration and initial deployment support.</x:v>
      </x:c>
      <x:c r="E24" s="76" t="str">
        <x:v>Communication tools, configuration and initial deployment support.</x:v>
      </x:c>
      <x:c r="F24" s="76" t="str">
        <x:v>Communication tools, configuration and initial deployment support.</x:v>
      </x:c>
      <x:c r="G24" s="76" t="str">
        <x:v>Communication tools, configuration and initial deployment support.</x:v>
      </x:c>
      <x:c r="H24" s="77" t="n">
        <x:v>5000</x:v>
      </x:c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 ht="24" customHeight="1">
      <x:c r="A26" s="2"/>
      <x:c r="B26" s="2"/>
      <x:c r="C26" s="2"/>
      <x:c r="D26" s="2"/>
      <x:c r="E26" s="79" t="str">
        <x:v>Normal development value</x:v>
      </x:c>
      <x:c r="F26" s="79" t="str">
        <x:v>Normal development value</x:v>
      </x:c>
      <x:c r="G26" s="79" t="str">
        <x:v>Normal development value</x:v>
      </x:c>
      <x:c r="H26" s="90" t="n">
        <x:f>SUM(H17:H24)</x:f>
        <x:v>60000</x:v>
      </x:c>
    </x:row>
    <x:row r="27" ht="24" customHeight="1">
      <x:c r="A27" s="2"/>
      <x:c r="B27" s="2"/>
      <x:c r="C27" s="2"/>
      <x:c r="D27" s="2"/>
      <x:c r="E27" s="80" t="str">
        <x:v>Introductory project discount</x:v>
      </x:c>
      <x:c r="F27" s="80" t="str">
        <x:v>Introductory project discount</x:v>
      </x:c>
      <x:c r="G27" s="80" t="str">
        <x:v>Introductory project discount</x:v>
      </x:c>
      <x:c r="H27" s="91" t="n">
        <x:v>-25000</x:v>
      </x:c>
    </x:row>
    <x:row r="28" ht="24" customHeight="1">
      <x:c r="A28" s="2"/>
      <x:c r="B28" s="2"/>
      <x:c r="C28" s="2"/>
      <x:c r="D28" s="2"/>
      <x:c r="E28" s="83" t="str">
        <x:v>Discounted development price</x:v>
      </x:c>
      <x:c r="F28" s="83" t="str">
        <x:v>Discounted development price</x:v>
      </x:c>
      <x:c r="G28" s="83" t="str">
        <x:v>Discounted development price</x:v>
      </x:c>
      <x:c r="H28" s="92" t="n">
        <x:f>H26+H27</x:f>
        <x:v>35000</x:v>
      </x:c>
    </x:row>
    <x:row r="29" ht="24" customHeight="1">
      <x:c r="A29" s="2"/>
      <x:c r="B29" s="2"/>
      <x:c r="C29" s="2"/>
      <x:c r="D29" s="2"/>
      <x:c r="E29" s="78" t="str">
        <x:v>GoDaddy domain cost</x:v>
      </x:c>
      <x:c r="F29" s="78" t="str">
        <x:v>GoDaddy domain cost</x:v>
      </x:c>
      <x:c r="G29" s="78" t="str">
        <x:v>GoDaddy domain cost</x:v>
      </x:c>
      <x:c r="H29" s="91" t="n">
        <x:v>4243</x:v>
      </x:c>
    </x:row>
    <x:row r="30" ht="27" customHeight="1">
      <x:c r="A30" s="2"/>
      <x:c r="B30" s="2"/>
      <x:c r="C30" s="2"/>
      <x:c r="D30" s="2"/>
      <x:c r="E30" s="94" t="str">
        <x:v>GRAND TOTAL</x:v>
      </x:c>
      <x:c r="F30" s="95" t="str">
        <x:v>GRAND TOTAL</x:v>
      </x:c>
      <x:c r="G30" s="95" t="str">
        <x:v>GRAND TOTAL</x:v>
      </x:c>
      <x:c r="H30" s="96" t="n">
        <x:f>H28+H29</x:f>
        <x:v>39243</x:v>
      </x:c>
    </x:row>
    <x:row r="31" ht="27" customHeight="1">
      <x:c r="A31" s="2"/>
      <x:c r="B31" s="2"/>
      <x:c r="C31" s="2"/>
      <x:c r="D31" s="2"/>
      <x:c r="E31" s="97" t="str">
        <x:v>GRAND TOTAL</x:v>
      </x:c>
      <x:c r="F31" s="98" t="str">
        <x:v>GRAND TOTAL</x:v>
      </x:c>
      <x:c r="G31" s="98" t="str">
        <x:v>GRAND TOTAL</x:v>
      </x:c>
      <x:c r="H31" s="99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 ht="24" customHeight="1">
      <x:c r="A33" s="102" t="str">
        <x:v>Yellow cells are editable. Formula cells update automatically when feature values, discount or domain cost change.</x:v>
      </x:c>
      <x:c r="B33" s="103" t="str">
        <x:v>Yellow cells are editable. Formula cells update automatically when feature values, discount or domain cost change.</x:v>
      </x:c>
      <x:c r="C33" s="103" t="str">
        <x:v>Yellow cells are editable. Formula cells update automatically when feature values, discount or domain cost change.</x:v>
      </x:c>
      <x:c r="D33" s="103" t="str">
        <x:v>Yellow cells are editable. Formula cells update automatically when feature values, discount or domain cost change.</x:v>
      </x:c>
      <x:c r="E33" s="103" t="str">
        <x:v>Yellow cells are editable. Formula cells update automatically when feature values, discount or domain cost change.</x:v>
      </x:c>
      <x:c r="F33" s="103" t="str">
        <x:v>Yellow cells are editable. Formula cells update automatically when feature values, discount or domain cost change.</x:v>
      </x:c>
      <x:c r="G33" s="103" t="str">
        <x:v>Yellow cells are editable. Formula cells update automatically when feature values, discount or domain cost change.</x:v>
      </x:c>
      <x:c r="H33" s="104" t="str">
        <x:v>Yellow cells are editable. Formula cells update automatically when feature values, discount or domain cost change.</x:v>
      </x:c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 ht="34" customHeight="1">
      <x:c r="A35" s="110" t="str">
        <x:v>ANNUAL MAINTENANCE</x:v>
      </x:c>
      <x:c r="B35" s="110" t="str">
        <x:v>ANNUAL MAINTENANCE</x:v>
      </x:c>
      <x:c r="C35" s="111" t="str">
        <x:v>Routine bug fixes, updates and basic support. New features and third-party charges are separate.</x:v>
      </x:c>
      <x:c r="D35" s="111" t="str">
        <x:v>Routine bug fixes, updates and basic support. New features and third-party charges are separate.</x:v>
      </x:c>
      <x:c r="E35" s="111" t="str">
        <x:v>Routine bug fixes, updates and basic support. New features and third-party charges are separate.</x:v>
      </x:c>
      <x:c r="F35" s="111" t="str">
        <x:v>Routine bug fixes, updates and basic support. New features and third-party charges are separate.</x:v>
      </x:c>
      <x:c r="G35" s="111" t="str">
        <x:v>Routine bug fixes, updates and basic support. New features and third-party charges are separate.</x:v>
      </x:c>
      <x:c r="H35" s="112" t="n">
        <x:v>15000</x:v>
      </x:c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113" t="str">
        <x:v>Terms: Hosting, Firebase usage, SMS/WhatsApp, email, taxes (if applicable) and future domain renewals are not included. Annual maintenance begins after the agreed support period.</x:v>
      </x:c>
      <x:c r="B37" s="113" t="str">
        <x:v>Terms: Hosting, Firebase usage, SMS/WhatsApp, email, taxes (if applicable) and future domain renewals are not included. Annual maintenance begins after the agreed support period.</x:v>
      </x:c>
      <x:c r="C37" s="113" t="str">
        <x:v>Terms: Hosting, Firebase usage, SMS/WhatsApp, email, taxes (if applicable) and future domain renewals are not included. Annual maintenance begins after the agreed support period.</x:v>
      </x:c>
      <x:c r="D37" s="113" t="str">
        <x:v>Terms: Hosting, Firebase usage, SMS/WhatsApp, email, taxes (if applicable) and future domain renewals are not included. Annual maintenance begins after the agreed support period.</x:v>
      </x:c>
      <x:c r="E37" s="113" t="str">
        <x:v>Terms: Hosting, Firebase usage, SMS/WhatsApp, email, taxes (if applicable) and future domain renewals are not included. Annual maintenance begins after the agreed support period.</x:v>
      </x:c>
      <x:c r="F37" s="113" t="str">
        <x:v>Terms: Hosting, Firebase usage, SMS/WhatsApp, email, taxes (if applicable) and future domain renewals are not included. Annual maintenance begins after the agreed support period.</x:v>
      </x:c>
      <x:c r="G37" s="113" t="str">
        <x:v>Terms: Hosting, Firebase usage, SMS/WhatsApp, email, taxes (if applicable) and future domain renewals are not included. Annual maintenance begins after the agreed support period.</x:v>
      </x:c>
      <x:c r="H37" s="113" t="str">
        <x:v>Terms: Hosting, Firebase usage, SMS/WhatsApp, email, taxes (if applicable) and future domain renewals are not included. Annual maintenance begins after the agreed support period.</x:v>
      </x:c>
    </x:row>
    <x:row r="38">
      <x:c r="A38" s="113" t="str">
        <x:v>Terms: Hosting, Firebase usage, SMS/WhatsApp, email, taxes (if applicable) and future domain renewals are not included. Annual maintenance begins after the agreed support period.</x:v>
      </x:c>
      <x:c r="B38" s="113" t="str">
        <x:v>Terms: Hosting, Firebase usage, SMS/WhatsApp, email, taxes (if applicable) and future domain renewals are not included. Annual maintenance begins after the agreed support period.</x:v>
      </x:c>
      <x:c r="C38" s="113" t="str">
        <x:v>Terms: Hosting, Firebase usage, SMS/WhatsApp, email, taxes (if applicable) and future domain renewals are not included. Annual maintenance begins after the agreed support period.</x:v>
      </x:c>
      <x:c r="D38" s="113" t="str">
        <x:v>Terms: Hosting, Firebase usage, SMS/WhatsApp, email, taxes (if applicable) and future domain renewals are not included. Annual maintenance begins after the agreed support period.</x:v>
      </x:c>
      <x:c r="E38" s="113" t="str">
        <x:v>Terms: Hosting, Firebase usage, SMS/WhatsApp, email, taxes (if applicable) and future domain renewals are not included. Annual maintenance begins after the agreed support period.</x:v>
      </x:c>
      <x:c r="F38" s="113" t="str">
        <x:v>Terms: Hosting, Firebase usage, SMS/WhatsApp, email, taxes (if applicable) and future domain renewals are not included. Annual maintenance begins after the agreed support period.</x:v>
      </x:c>
      <x:c r="G38" s="113" t="str">
        <x:v>Terms: Hosting, Firebase usage, SMS/WhatsApp, email, taxes (if applicable) and future domain renewals are not included. Annual maintenance begins after the agreed support period.</x:v>
      </x:c>
      <x:c r="H38" s="113" t="str">
        <x:v>Terms: Hosting, Firebase usage, SMS/WhatsApp, email, taxes (if applicable) and future domain renewals are not included. Annual maintenance begins after the agreed support period.</x:v>
      </x:c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106" t="str">
        <x:v>Prepared by</x:v>
      </x:c>
      <x:c r="B40" s="106" t="str">
        <x:v>Prepared by</x:v>
      </x:c>
      <x:c r="C40" s="106" t="str">
        <x:v>Prepared by</x:v>
      </x:c>
      <x:c r="D40" s="106" t="str">
        <x:v>Prepared by</x:v>
      </x:c>
      <x:c r="E40" s="106" t="str">
        <x:v>Accepted by client</x:v>
      </x:c>
      <x:c r="F40" s="106" t="str">
        <x:v>Accepted by client</x:v>
      </x:c>
      <x:c r="G40" s="106" t="str">
        <x:v>Accepted by client</x:v>
      </x:c>
      <x:c r="H40" s="106" t="str">
        <x:v>Accepted by client</x:v>
      </x:c>
    </x:row>
    <x:row r="41" ht="24" customHeight="1">
      <x:c r="A41" s="116" t="str">
        <x:v>____________________________
Name and signature</x:v>
      </x:c>
      <x:c r="B41" s="116" t="str">
        <x:v>____________________________
Name and signature</x:v>
      </x:c>
      <x:c r="C41" s="116" t="str">
        <x:v>____________________________
Name and signature</x:v>
      </x:c>
      <x:c r="D41" s="116" t="str">
        <x:v>____________________________
Name and signature</x:v>
      </x:c>
      <x:c r="E41" s="116" t="str">
        <x:v>____________________________
Name, signature and date</x:v>
      </x:c>
      <x:c r="F41" s="116" t="str">
        <x:v>____________________________
Name, signature and date</x:v>
      </x:c>
      <x:c r="G41" s="116" t="str">
        <x:v>____________________________
Name, signature and date</x:v>
      </x:c>
      <x:c r="H41" s="116" t="str">
        <x:v>____________________________
Name, signature and date</x:v>
      </x:c>
    </x:row>
    <x:row r="42" ht="24" customHeight="1">
      <x:c r="A42" s="116" t="str">
        <x:v>____________________________
Name and signature</x:v>
      </x:c>
      <x:c r="B42" s="116" t="str">
        <x:v>____________________________
Name and signature</x:v>
      </x:c>
      <x:c r="C42" s="116" t="str">
        <x:v>____________________________
Name and signature</x:v>
      </x:c>
      <x:c r="D42" s="116" t="str">
        <x:v>____________________________
Name and signature</x:v>
      </x:c>
      <x:c r="E42" s="116" t="str">
        <x:v>____________________________
Name, signature and date</x:v>
      </x:c>
      <x:c r="F42" s="116" t="str">
        <x:v>____________________________
Name, signature and date</x:v>
      </x:c>
      <x:c r="G42" s="116" t="str">
        <x:v>____________________________
Name, signature and date</x:v>
      </x:c>
      <x:c r="H42" s="116" t="str">
        <x:v>____________________________
Name, signature and date</x:v>
      </x:c>
    </x:row>
  </x:sheetData>
  <x:mergeCells>
    <x:mergeCell ref="A2:E4"/>
    <x:mergeCell ref="A5:E5"/>
    <x:mergeCell ref="F2:H3"/>
    <x:mergeCell ref="F4:G4"/>
    <x:mergeCell ref="F5:G5"/>
    <x:mergeCell ref="A7:D7"/>
    <x:mergeCell ref="E7:H7"/>
    <x:mergeCell ref="A8:D8"/>
    <x:mergeCell ref="A9:D9"/>
    <x:mergeCell ref="A10:D10"/>
    <x:mergeCell ref="A11:D11"/>
    <x:mergeCell ref="E8:H8"/>
    <x:mergeCell ref="E9:H9"/>
    <x:mergeCell ref="E10:H10"/>
    <x:mergeCell ref="E11:H11"/>
    <x:mergeCell ref="A13:B13"/>
    <x:mergeCell ref="C13:H13"/>
    <x:mergeCell ref="A14:B14"/>
    <x:mergeCell ref="C14:H14"/>
    <x:mergeCell ref="A16:C16"/>
    <x:mergeCell ref="D16:G16"/>
    <x:mergeCell ref="A17:C17"/>
    <x:mergeCell ref="D17:G17"/>
    <x:mergeCell ref="A18:C18"/>
    <x:mergeCell ref="D18:G18"/>
    <x:mergeCell ref="A19:C19"/>
    <x:mergeCell ref="D19:G19"/>
    <x:mergeCell ref="A20:C20"/>
    <x:mergeCell ref="D20:G20"/>
    <x:mergeCell ref="A21:C21"/>
    <x:mergeCell ref="D21:G21"/>
    <x:mergeCell ref="A22:C22"/>
    <x:mergeCell ref="D22:G22"/>
    <x:mergeCell ref="A23:C23"/>
    <x:mergeCell ref="D23:G23"/>
    <x:mergeCell ref="A24:C24"/>
    <x:mergeCell ref="D24:G24"/>
    <x:mergeCell ref="E26:G26"/>
    <x:mergeCell ref="E27:G27"/>
    <x:mergeCell ref="E28:G28"/>
    <x:mergeCell ref="E29:G29"/>
    <x:mergeCell ref="E30:G31"/>
    <x:mergeCell ref="H30:H31"/>
    <x:mergeCell ref="A33:H33"/>
    <x:mergeCell ref="A35:B35"/>
    <x:mergeCell ref="C35:G35"/>
    <x:mergeCell ref="A37:H38"/>
    <x:mergeCell ref="A40:D40"/>
    <x:mergeCell ref="E40:H40"/>
    <x:mergeCell ref="A41:D42"/>
    <x:mergeCell ref="E41:H42"/>
  </x:mergeCells>
  <x:dataValidations count="1">
    <x:dataValidation type="whole" operator="lessThanOrEqual" sqref="H27">
      <x:formula1>0</x:formula1>
    </x:dataValidation>
  </x:dataValidations>
  <x:pageMargins left="0.7" right="0.7" top="0.75" bottom="0.75" header="0.3" footer="0.3"/>
</x:worksheet>
</file>